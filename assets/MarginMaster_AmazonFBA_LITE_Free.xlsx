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C05600"/>
    </font>
    <font>
      <b val="1"/>
      <color rgb="00C05600"/>
      <sz val="11"/>
    </font>
    <font>
      <color rgb="007A3E00"/>
      <sz val="10"/>
    </font>
    <font>
      <b val="1"/>
      <color rgb="000563C1"/>
      <sz val="11"/>
      <u val="single"/>
    </font>
    <font>
      <i val="1"/>
      <color rgb="00808080"/>
      <sz val="9"/>
    </font>
    <font>
      <b val="1"/>
      <color rgb="00FFFFFF"/>
    </font>
    <font>
      <i val="1"/>
      <color rgb="00C05600"/>
      <sz val="9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E8CC"/>
        <bgColor rgb="00FFE8CC"/>
      </patternFill>
    </fill>
    <fill>
      <patternFill patternType="solid">
        <fgColor rgb="00232F3E"/>
        <bgColor rgb="00232F3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164" fontId="0" fillId="4" borderId="1" pivotButton="0" quotePrefix="0" xfId="0"/>
    <xf numFmtId="10" fontId="0" fillId="4" borderId="1" pivotButton="0" quotePrefix="0" xfId="0"/>
    <xf numFmtId="0" fontId="9" fillId="0" borderId="0" pivotButton="0" quotePrefix="0" xfId="0"/>
    <xf numFmtId="164" fontId="10" fillId="0" borderId="1" pivotButton="0" quotePrefix="0" xfId="0"/>
    <xf numFmtId="1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monverse7168.gumroad.com/l/fba-margin-master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imonverse7168.gumroad.com/l/fba-margin-master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simonverse7168.gumroad.com/l/fba-margin-master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Margin Master for Amazon FBA — FREE LITE</t>
        </is>
      </c>
    </row>
    <row r="2">
      <c r="A2" t="inlineStr">
        <is>
          <t>Find out if a product actually makes money on Amazon US, before ads.</t>
        </is>
      </c>
    </row>
    <row r="3">
      <c r="A3" t="inlineStr"/>
    </row>
    <row r="4">
      <c r="A4" s="2" t="inlineStr">
        <is>
          <t>HOW TO USE (2 steps)</t>
        </is>
      </c>
    </row>
    <row r="5">
      <c r="A5" t="inlineStr">
        <is>
          <t>1. Open the Inputs sheet and fill the 4 yellow cells.</t>
        </is>
      </c>
    </row>
    <row r="6">
      <c r="A6" t="inlineStr">
        <is>
          <t>2. Read the Result sheet. Margin updates automatically.</t>
        </is>
      </c>
    </row>
    <row r="7">
      <c r="A7" t="inlineStr"/>
    </row>
    <row r="8">
      <c r="A8" s="2" t="inlineStr">
        <is>
          <t>WHAT LITE SHOWS</t>
        </is>
      </c>
    </row>
    <row r="9">
      <c r="A9" t="inlineStr">
        <is>
          <t>- Referral fee &amp; FBA fee taken out of your price</t>
        </is>
      </c>
    </row>
    <row r="10">
      <c r="A10" t="inlineStr">
        <is>
          <t>- Contribution margin per unit, in $ and % (before ad spend)</t>
        </is>
      </c>
    </row>
    <row r="11">
      <c r="A11" t="inlineStr"/>
    </row>
    <row r="12">
      <c r="A12" s="3" t="inlineStr">
        <is>
          <t>WHAT LITE DOES NOT SHOW — these are in the paid Full version</t>
        </is>
      </c>
    </row>
    <row r="13">
      <c r="A13" t="inlineStr">
        <is>
          <t>- Break-even ACoS / ROAS: the exact ad-spend level where PPC stops making money</t>
        </is>
      </c>
    </row>
    <row r="14">
      <c r="A14" t="inlineStr">
        <is>
          <t>- 2026 US referral fee table (37 category/price bands, $0.30 minimums auto-applied)</t>
        </is>
      </c>
    </row>
    <row r="15">
      <c r="A15" t="inlineStr">
        <is>
          <t>- Return-adjusted margin, and units needed to hit a monthly profit target</t>
        </is>
      </c>
    </row>
    <row r="16">
      <c r="A16" t="inlineStr"/>
    </row>
    <row r="17">
      <c r="A17" s="4" t="inlineStr">
        <is>
          <t>⭐ This is the FREE Lite version. It shows margin — but not your break-even ACoS.</t>
        </is>
      </c>
    </row>
    <row r="18">
      <c r="A18" s="5" t="inlineStr">
        <is>
          <t>Get the exact ad-spend ceiling + 37-row 2026 fee table + return-adjusted margin:</t>
        </is>
      </c>
    </row>
    <row r="19">
      <c r="A19" s="6" t="inlineStr">
        <is>
          <t>https://simonverse7168.gumroad.com/l/fba-margin-master</t>
        </is>
      </c>
    </row>
    <row r="21">
      <c r="A21" s="7" t="inlineStr">
        <is>
          <t>Rates you enter are yours to verify in Seller Central's fee preview. Estimation tool, not accounting advice.</t>
        </is>
      </c>
    </row>
  </sheetData>
  <hyperlinks>
    <hyperlink xmlns:r="http://schemas.openxmlformats.org/officeDocument/2006/relationships" ref="A1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</cols>
  <sheetData>
    <row r="1">
      <c r="A1" s="8" t="inlineStr">
        <is>
          <t>Item</t>
        </is>
      </c>
      <c r="B1" s="8" t="inlineStr">
        <is>
          <t>Value</t>
        </is>
      </c>
    </row>
    <row r="2">
      <c r="A2" s="2" t="inlineStr">
        <is>
          <t>Sale price (per unit)</t>
        </is>
      </c>
      <c r="B2" s="9" t="n">
        <v>24.99</v>
      </c>
    </row>
    <row r="3">
      <c r="A3" s="2" t="inlineStr">
        <is>
          <t>Landed cost per unit (COGS + freight + prep)</t>
        </is>
      </c>
      <c r="B3" s="9" t="n">
        <v>6.5</v>
      </c>
    </row>
    <row r="4">
      <c r="A4" s="2" t="inlineStr">
        <is>
          <t>FBA fulfillment fee per unit (incl. any surcharge)</t>
        </is>
      </c>
      <c r="B4" s="9" t="n">
        <v>4.35</v>
      </c>
    </row>
    <row r="5">
      <c r="A5" s="2" t="inlineStr">
        <is>
          <t>Referral fee rate (your category %)</t>
        </is>
      </c>
      <c r="B5" s="10" t="n">
        <v>0.15</v>
      </c>
    </row>
    <row r="7">
      <c r="A7" s="7" t="inlineStr">
        <is>
          <t>B4: get your exact per-unit fee from Seller Central &gt; Revenue Calculator (it already includes the 3.5% fuel surcharge).</t>
        </is>
      </c>
    </row>
    <row r="8">
      <c r="A8" s="7" t="inlineStr">
        <is>
          <t>B5: type your category's referral rate (Home &amp; Kitchen 15%, Electronics 8%, etc.).</t>
        </is>
      </c>
    </row>
    <row r="9">
      <c r="A9" s="11" t="inlineStr">
        <is>
          <t>Full version replaces B5 with a 37-row dropdown that applies per-category $0.30 minimums automatically.</t>
        </is>
      </c>
    </row>
    <row r="11">
      <c r="A11" s="4" t="inlineStr">
        <is>
          <t>⭐ This is the FREE Lite version. It shows margin — but not your break-even ACoS.</t>
        </is>
      </c>
    </row>
    <row r="12">
      <c r="A12" s="5" t="inlineStr">
        <is>
          <t>Get the exact ad-spend ceiling + 37-row 2026 fee table + return-adjusted margin:</t>
        </is>
      </c>
    </row>
    <row r="13">
      <c r="A13" s="6" t="inlineStr">
        <is>
          <t>https://simonverse7168.gumroad.com/l/fba-margin-master</t>
        </is>
      </c>
    </row>
  </sheetData>
  <hyperlinks>
    <hyperlink xmlns:r="http://schemas.openxmlformats.org/officeDocument/2006/relationships" ref="A1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2" t="inlineStr">
        <is>
          <t>Referral fee per unit</t>
        </is>
      </c>
      <c r="B2" s="12">
        <f>Inputs!B2*Inputs!B5</f>
        <v/>
      </c>
    </row>
    <row r="3">
      <c r="A3" s="2" t="inlineStr">
        <is>
          <t>FBA fee per unit</t>
        </is>
      </c>
      <c r="B3" s="12">
        <f>Inputs!B4</f>
        <v/>
      </c>
    </row>
    <row r="4">
      <c r="A4" s="2" t="inlineStr">
        <is>
          <t>Net revenue after Amazon fees</t>
        </is>
      </c>
      <c r="B4" s="12">
        <f>Inputs!B2-B2-B3</f>
        <v/>
      </c>
    </row>
    <row r="5">
      <c r="A5" s="2" t="inlineStr">
        <is>
          <t>Contribution margin per unit (before ads)</t>
        </is>
      </c>
      <c r="B5" s="12">
        <f>B4-Inputs!B3</f>
        <v/>
      </c>
    </row>
    <row r="6">
      <c r="A6" s="2" t="inlineStr">
        <is>
          <t>Margin % (before ads)</t>
        </is>
      </c>
      <c r="B6" s="13">
        <f>B5/Inputs!B2</f>
        <v/>
      </c>
    </row>
    <row r="8">
      <c r="A8" s="7" t="inlineStr">
        <is>
          <t>Note: Lite margin is BEFORE ad spend. Positive here doesn't mean profitable after PPC —</t>
        </is>
      </c>
    </row>
    <row r="9">
      <c r="A9" s="7" t="inlineStr">
        <is>
          <t>that depends on your break-even ACoS, which the Full version calculates for you.</t>
        </is>
      </c>
    </row>
    <row r="11">
      <c r="A11" s="4" t="inlineStr">
        <is>
          <t>⭐ This is the FREE Lite version. It shows margin — but not your break-even ACoS.</t>
        </is>
      </c>
    </row>
    <row r="12">
      <c r="A12" s="5" t="inlineStr">
        <is>
          <t>Get the exact ad-spend ceiling + 37-row 2026 fee table + return-adjusted margin:</t>
        </is>
      </c>
    </row>
    <row r="13">
      <c r="A13" s="6" t="inlineStr">
        <is>
          <t>https://simonverse7168.gumroad.com/l/fba-margin-master</t>
        </is>
      </c>
    </row>
  </sheetData>
  <hyperlinks>
    <hyperlink xmlns:r="http://schemas.openxmlformats.org/officeDocument/2006/relationships" ref="A1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2026-07-15T00:32:23Z</dcterms:created>
  <dcterms:modified xmlns:dcterms="http://purl.org/dc/terms/" xmlns:xsi="http://www.w3.org/2001/XMLSchema-instance" xsi:type="dcterms:W3CDTF">2026-07-15T00:32:23Z</dcterms:modified>
</cp:coreProperties>
</file>